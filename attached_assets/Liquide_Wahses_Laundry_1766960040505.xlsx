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CCEB5BDA-2C14-42EF-BD43-693A7F5851B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WL Statement Client" sheetId="1" r:id="rId1"/>
  </sheets>
  <calcPr calcId="191029"/>
</workbook>
</file>

<file path=xl/calcChain.xml><?xml version="1.0" encoding="utf-8"?>
<calcChain xmlns="http://schemas.openxmlformats.org/spreadsheetml/2006/main">
  <c r="E14" i="1" l="1"/>
  <c r="E5" i="1" s="1"/>
  <c r="D14" i="1"/>
  <c r="F13" i="1"/>
  <c r="F12" i="1"/>
  <c r="F11" i="1"/>
  <c r="F10" i="1"/>
  <c r="F9" i="1"/>
  <c r="F8" i="1"/>
  <c r="F7" i="1"/>
  <c r="K4" i="1"/>
  <c r="F14" i="1" l="1"/>
  <c r="C5" i="1" s="1"/>
</calcChain>
</file>

<file path=xl/sharedStrings.xml><?xml version="1.0" encoding="utf-8"?>
<sst xmlns="http://schemas.openxmlformats.org/spreadsheetml/2006/main" count="27" uniqueCount="23">
  <si>
    <t>Date:</t>
  </si>
  <si>
    <t>Card</t>
  </si>
  <si>
    <t>Total Due</t>
  </si>
  <si>
    <t>Total Deposit</t>
  </si>
  <si>
    <t>Account</t>
  </si>
  <si>
    <t>Client</t>
  </si>
  <si>
    <t>Address</t>
  </si>
  <si>
    <t>Amount</t>
  </si>
  <si>
    <t>Deposit</t>
  </si>
  <si>
    <t>Balance</t>
  </si>
  <si>
    <t>Contact</t>
  </si>
  <si>
    <t>BI-LL Number</t>
  </si>
  <si>
    <t>Pay Status</t>
  </si>
  <si>
    <t>Note</t>
  </si>
  <si>
    <t>Advance</t>
  </si>
  <si>
    <t>Abdullah</t>
  </si>
  <si>
    <t>http://wa.me/+971543956492</t>
  </si>
  <si>
    <t>http://wa.me/+971508803607</t>
  </si>
  <si>
    <t>http://wa.me/+971504419876</t>
  </si>
  <si>
    <t>http://wa.me/+971545536456</t>
  </si>
  <si>
    <t>http://wa.me/+971566193337</t>
  </si>
  <si>
    <t>Total-</t>
  </si>
  <si>
    <t xml:space="preserve">                                                                        LIQUIDE WASHES LAUNDRY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</si>
</sst>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AED&quot;#,##0.00;\-&quot;AED&quot;#,##0.00"/>
    <numFmt numFmtId="164" formatCode="[$-14C09]d\ mmm\ yyyy"/>
    <numFmt numFmtId="165" formatCode="&quot;AED&quot;#,##0.00"/>
  </numFmts>
  <fonts count="21">
    <font>
      <sz val="11"/>
      <color theme="1"/>
      <name val="Calibri"/>
      <scheme val="minor"/>
    </font>
    <font>
      <b/>
      <sz val="36"/>
      <color rgb="FF3D85C6"/>
      <name val="Teko"/>
    </font>
    <font>
      <sz val="11"/>
      <color theme="1"/>
      <name val="Calibri"/>
      <scheme val="minor"/>
    </font>
    <font>
      <sz val="11"/>
      <color theme="1"/>
      <name val="Consolas"/>
    </font>
    <font>
      <b/>
      <sz val="18"/>
      <color rgb="FFFF0000"/>
      <name val="Calibri"/>
      <scheme val="minor"/>
    </font>
    <font>
      <b/>
      <sz val="18"/>
      <color theme="1"/>
      <name val="Teko"/>
    </font>
    <font>
      <b/>
      <sz val="16"/>
      <color theme="1"/>
      <name val="Teko"/>
    </font>
    <font>
      <b/>
      <sz val="16"/>
      <color theme="1"/>
      <name val="Bahnschrift Condensed"/>
    </font>
    <font>
      <b/>
      <sz val="20"/>
      <color rgb="FFFF0000"/>
      <name val="Arabic Typesetting"/>
    </font>
    <font>
      <b/>
      <sz val="22"/>
      <color rgb="FF5B9BD5"/>
      <name val="Arabic Typesetting"/>
    </font>
    <font>
      <b/>
      <sz val="26"/>
      <color rgb="FFFFFFFF"/>
      <name val="Arabic Typesetting"/>
    </font>
    <font>
      <b/>
      <sz val="20"/>
      <color theme="1"/>
      <name val="Arabic Typesetting"/>
    </font>
    <font>
      <b/>
      <sz val="20"/>
      <color theme="4"/>
      <name val="Arabic Typesetting"/>
    </font>
    <font>
      <b/>
      <sz val="14"/>
      <color theme="1"/>
      <name val="Calibri"/>
    </font>
    <font>
      <b/>
      <sz val="14"/>
      <color theme="1"/>
      <name val="Bahnschrift"/>
    </font>
    <font>
      <sz val="14"/>
      <color theme="1"/>
      <name val="Bahnschrift"/>
    </font>
    <font>
      <sz val="14"/>
      <color theme="1"/>
      <name val="Arial"/>
    </font>
    <font>
      <u/>
      <sz val="13"/>
      <color rgb="FF0563C1"/>
      <name val="Arial"/>
    </font>
    <font>
      <sz val="14"/>
      <color rgb="FF000000"/>
      <name val="Arial"/>
    </font>
    <font>
      <u/>
      <sz val="13"/>
      <color rgb="FF0000FF"/>
      <name val="Arial"/>
    </font>
    <font>
      <sz val="11"/>
      <name val="Calibri"/>
    </font>
  </fonts>
  <fills count="9">
    <fill>
      <patternFill patternType="none"/>
    </fill>
    <fill>
      <patternFill patternType="gray125"/>
    </fill>
    <fill>
      <patternFill patternType="solid">
        <fgColor rgb="FF9FC5E8"/>
        <bgColor rgb="FF9FC5E8"/>
      </patternFill>
    </fill>
    <fill>
      <patternFill patternType="solid">
        <fgColor rgb="FFA4C2F4"/>
        <bgColor rgb="FFA4C2F4"/>
      </patternFill>
    </fill>
    <fill>
      <patternFill patternType="solid">
        <fgColor rgb="FF980000"/>
        <bgColor rgb="FF980000"/>
      </patternFill>
    </fill>
    <fill>
      <patternFill patternType="solid">
        <fgColor rgb="FFFFD965"/>
        <bgColor rgb="FFFFD965"/>
      </patternFill>
    </fill>
    <fill>
      <patternFill patternType="solid">
        <fgColor rgb="FFC6EFCE"/>
        <bgColor rgb="FFC6EFCE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0" borderId="0" xfId="0" applyFont="1"/>
    <xf numFmtId="0" fontId="3" fillId="0" borderId="0" xfId="0" applyFont="1"/>
    <xf numFmtId="49" fontId="5" fillId="3" borderId="0" xfId="0" applyNumberFormat="1" applyFont="1" applyFill="1" applyAlignment="1">
      <alignment horizontal="right"/>
    </xf>
    <xf numFmtId="49" fontId="6" fillId="0" borderId="0" xfId="0" applyNumberFormat="1" applyFont="1" applyAlignment="1">
      <alignment horizontal="left"/>
    </xf>
    <xf numFmtId="164" fontId="7" fillId="0" borderId="0" xfId="0" applyNumberFormat="1" applyFont="1" applyAlignment="1">
      <alignment horizontal="left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7" fontId="10" fillId="4" borderId="0" xfId="0" applyNumberFormat="1" applyFont="1" applyFill="1" applyAlignment="1">
      <alignment horizontal="center"/>
    </xf>
    <xf numFmtId="0" fontId="11" fillId="0" borderId="0" xfId="0" applyFont="1" applyAlignment="1">
      <alignment horizontal="center"/>
    </xf>
    <xf numFmtId="165" fontId="12" fillId="0" borderId="0" xfId="0" applyNumberFormat="1" applyFont="1" applyAlignment="1">
      <alignment horizontal="center"/>
    </xf>
    <xf numFmtId="49" fontId="5" fillId="0" borderId="0" xfId="0" applyNumberFormat="1" applyFont="1" applyAlignment="1">
      <alignment horizontal="center" vertical="center"/>
    </xf>
    <xf numFmtId="0" fontId="13" fillId="5" borderId="1" xfId="0" applyFont="1" applyFill="1" applyBorder="1" applyAlignment="1">
      <alignment horizontal="center" vertical="center"/>
    </xf>
    <xf numFmtId="165" fontId="13" fillId="5" borderId="1" xfId="0" applyNumberFormat="1" applyFont="1" applyFill="1" applyBorder="1" applyAlignment="1">
      <alignment horizontal="center" vertical="center"/>
    </xf>
    <xf numFmtId="7" fontId="13" fillId="5" borderId="1" xfId="0" applyNumberFormat="1" applyFont="1" applyFill="1" applyBorder="1" applyAlignment="1">
      <alignment horizontal="center" vertical="center"/>
    </xf>
    <xf numFmtId="49" fontId="13" fillId="5" borderId="1" xfId="0" applyNumberFormat="1" applyFont="1" applyFill="1" applyBorder="1" applyAlignment="1">
      <alignment horizontal="center" vertical="center"/>
    </xf>
    <xf numFmtId="0" fontId="14" fillId="0" borderId="1" xfId="0" applyFont="1" applyBorder="1" applyAlignment="1">
      <alignment horizontal="center"/>
    </xf>
    <xf numFmtId="0" fontId="15" fillId="6" borderId="1" xfId="0" applyFont="1" applyFill="1" applyBorder="1"/>
    <xf numFmtId="165" fontId="16" fillId="7" borderId="1" xfId="0" applyNumberFormat="1" applyFont="1" applyFill="1" applyBorder="1"/>
    <xf numFmtId="165" fontId="16" fillId="0" borderId="1" xfId="0" applyNumberFormat="1" applyFont="1" applyBorder="1"/>
    <xf numFmtId="165" fontId="15" fillId="7" borderId="1" xfId="0" applyNumberFormat="1" applyFont="1" applyFill="1" applyBorder="1"/>
    <xf numFmtId="3" fontId="17" fillId="0" borderId="1" xfId="0" applyNumberFormat="1" applyFont="1" applyBorder="1"/>
    <xf numFmtId="49" fontId="18" fillId="0" borderId="1" xfId="0" applyNumberFormat="1" applyFont="1" applyBorder="1"/>
    <xf numFmtId="49" fontId="15" fillId="0" borderId="1" xfId="0" applyNumberFormat="1" applyFont="1" applyBorder="1" applyAlignment="1">
      <alignment horizontal="center" vertical="center"/>
    </xf>
    <xf numFmtId="0" fontId="15" fillId="0" borderId="1" xfId="0" applyFont="1" applyBorder="1"/>
    <xf numFmtId="0" fontId="16" fillId="0" borderId="1" xfId="0" applyFont="1" applyBorder="1"/>
    <xf numFmtId="3" fontId="19" fillId="0" borderId="1" xfId="0" applyNumberFormat="1" applyFont="1" applyBorder="1"/>
    <xf numFmtId="0" fontId="16" fillId="6" borderId="1" xfId="0" applyFont="1" applyFill="1" applyBorder="1"/>
    <xf numFmtId="49" fontId="16" fillId="0" borderId="1" xfId="0" applyNumberFormat="1" applyFont="1" applyBorder="1"/>
    <xf numFmtId="49" fontId="16" fillId="0" borderId="1" xfId="0" applyNumberFormat="1" applyFont="1" applyBorder="1" applyAlignment="1">
      <alignment horizontal="center" vertical="center"/>
    </xf>
    <xf numFmtId="0" fontId="16" fillId="0" borderId="0" xfId="0" applyFont="1"/>
    <xf numFmtId="165" fontId="15" fillId="8" borderId="1" xfId="0" applyNumberFormat="1" applyFont="1" applyFill="1" applyBorder="1"/>
    <xf numFmtId="165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49" fontId="13" fillId="0" borderId="0" xfId="0" applyNumberFormat="1" applyFont="1" applyAlignment="1">
      <alignment horizontal="center"/>
    </xf>
    <xf numFmtId="49" fontId="13" fillId="0" borderId="0" xfId="0" applyNumberFormat="1" applyFont="1" applyAlignment="1">
      <alignment horizontal="center" vertical="center"/>
    </xf>
    <xf numFmtId="49" fontId="1" fillId="0" borderId="0" xfId="0" applyNumberFormat="1" applyFont="1" applyAlignment="1">
      <alignment horizontal="left"/>
    </xf>
    <xf numFmtId="0" fontId="0" fillId="0" borderId="0" xfId="0"/>
    <xf numFmtId="0" fontId="4" fillId="2" borderId="0" xfId="0" applyFont="1" applyFill="1" applyAlignment="1">
      <alignment horizontal="center"/>
    </xf>
    <xf numFmtId="0" fontId="13" fillId="0" borderId="2" xfId="0" applyFont="1" applyBorder="1" applyAlignment="1">
      <alignment horizontal="center"/>
    </xf>
    <xf numFmtId="0" fontId="20" fillId="0" borderId="2" xfId="0" applyFont="1" applyBorder="1"/>
    <xf numFmtId="0" fontId="0" fillId="0" borderId="0" xfId="0" applyFill="1"/>
  </cellXfs>
  <cellStyles count="1">
    <cellStyle name="Normal" xfId="0" builtinId="0"/>
  </cellStyles>
  <dxfs count="10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theme="0"/>
          <bgColor theme="0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5700"/>
      </font>
      <fill>
        <patternFill patternType="solid">
          <fgColor rgb="FFFFEB9C"/>
          <bgColor rgb="FFFFEB9C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0000"/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wa.me/+971504419876" TargetMode="External"/><Relationship Id="rId2" Type="http://schemas.openxmlformats.org/officeDocument/2006/relationships/hyperlink" Target="http://wa.me/+971508803607" TargetMode="External"/><Relationship Id="rId1" Type="http://schemas.openxmlformats.org/officeDocument/2006/relationships/hyperlink" Target="http://wa.me/+971543956492" TargetMode="External"/><Relationship Id="rId5" Type="http://schemas.openxmlformats.org/officeDocument/2006/relationships/hyperlink" Target="http://wa.me/+971566193337" TargetMode="External"/><Relationship Id="rId4" Type="http://schemas.openxmlformats.org/officeDocument/2006/relationships/hyperlink" Target="http://wa.me/+97154553645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14"/>
  <sheetViews>
    <sheetView tabSelected="1" workbookViewId="0">
      <pane ySplit="6" topLeftCell="A7" activePane="bottomLeft" state="frozen"/>
      <selection pane="bottomLeft" activeCell="D26" sqref="D26"/>
    </sheetView>
  </sheetViews>
  <sheetFormatPr defaultColWidth="14.42578125" defaultRowHeight="15" customHeight="1"/>
  <cols>
    <col min="1" max="1" width="5.7109375" style="41" customWidth="1"/>
    <col min="2" max="2" width="35" style="41" customWidth="1"/>
    <col min="3" max="3" width="29.5703125" style="41" customWidth="1"/>
    <col min="4" max="4" width="24.28515625" style="41" customWidth="1"/>
    <col min="5" max="5" width="26.42578125" style="41" customWidth="1"/>
    <col min="6" max="6" width="18.5703125" style="41" customWidth="1"/>
    <col min="7" max="7" width="32" style="41" customWidth="1"/>
    <col min="8" max="8" width="95" style="41" customWidth="1"/>
    <col min="9" max="9" width="15.140625" style="41" customWidth="1"/>
    <col min="10" max="11" width="38.42578125" style="41" customWidth="1"/>
    <col min="12" max="28" width="8.7109375" style="41" customWidth="1"/>
    <col min="29" max="16384" width="14.42578125" style="41"/>
  </cols>
  <sheetData>
    <row r="1" spans="1:28" customFormat="1" ht="26.25" customHeight="1">
      <c r="A1" s="36" t="s">
        <v>22</v>
      </c>
      <c r="B1" s="37"/>
      <c r="C1" s="37"/>
      <c r="D1" s="37"/>
      <c r="E1" s="37"/>
      <c r="F1" s="37"/>
      <c r="G1" s="37"/>
      <c r="H1" s="37"/>
      <c r="I1" s="37"/>
      <c r="J1" s="37"/>
      <c r="K1" s="37"/>
    </row>
    <row r="2" spans="1:28" customFormat="1" ht="24.75" customHeight="1">
      <c r="A2" s="37"/>
      <c r="B2" s="37"/>
      <c r="C2" s="37"/>
      <c r="D2" s="37"/>
      <c r="E2" s="37"/>
      <c r="F2" s="37"/>
      <c r="G2" s="37"/>
      <c r="H2" s="37"/>
      <c r="I2" s="37"/>
      <c r="J2" s="37"/>
      <c r="K2" s="37"/>
    </row>
    <row r="3" spans="1:28" customFormat="1" ht="24.75" customHeight="1">
      <c r="A3" s="1"/>
      <c r="B3" s="1"/>
      <c r="C3" s="1"/>
      <c r="D3" s="1"/>
      <c r="E3" s="1"/>
      <c r="F3" s="1"/>
      <c r="G3" s="1"/>
      <c r="H3" s="1"/>
      <c r="I3" s="1"/>
      <c r="J3" s="1"/>
      <c r="K3" s="1"/>
      <c r="O3" s="2"/>
    </row>
    <row r="4" spans="1:28" customFormat="1" ht="24" customHeight="1">
      <c r="A4" s="38"/>
      <c r="B4" s="37"/>
      <c r="C4" s="37"/>
      <c r="D4" s="37"/>
      <c r="E4" s="37"/>
      <c r="F4" s="37"/>
      <c r="G4" s="37"/>
      <c r="H4" s="3"/>
      <c r="I4" s="4" t="s">
        <v>0</v>
      </c>
      <c r="J4" s="5"/>
      <c r="K4" s="5">
        <f ca="1">NOW()</f>
        <v>46020.092642939817</v>
      </c>
      <c r="O4" s="2" t="s">
        <v>1</v>
      </c>
    </row>
    <row r="5" spans="1:28" customFormat="1" ht="33.75" customHeight="1">
      <c r="A5" s="6"/>
      <c r="B5" s="7" t="s">
        <v>2</v>
      </c>
      <c r="C5" s="8">
        <f>+F14</f>
        <v>0</v>
      </c>
      <c r="D5" s="9" t="s">
        <v>3</v>
      </c>
      <c r="E5" s="10">
        <f>+E14</f>
        <v>65</v>
      </c>
      <c r="F5" s="6"/>
      <c r="G5" s="6"/>
      <c r="H5" s="1"/>
      <c r="I5" s="11"/>
      <c r="J5" s="5"/>
      <c r="K5" s="5"/>
      <c r="O5" s="2" t="s">
        <v>4</v>
      </c>
    </row>
    <row r="6" spans="1:28" customFormat="1" ht="24.75" customHeight="1">
      <c r="A6" s="12"/>
      <c r="B6" s="12" t="s">
        <v>5</v>
      </c>
      <c r="C6" s="12" t="s">
        <v>6</v>
      </c>
      <c r="D6" s="13" t="s">
        <v>7</v>
      </c>
      <c r="E6" s="13" t="s">
        <v>8</v>
      </c>
      <c r="F6" s="14" t="s">
        <v>9</v>
      </c>
      <c r="G6" s="12" t="s">
        <v>10</v>
      </c>
      <c r="H6" s="15" t="s">
        <v>11</v>
      </c>
      <c r="I6" s="15" t="s">
        <v>12</v>
      </c>
      <c r="J6" s="12"/>
      <c r="K6" s="12" t="s">
        <v>13</v>
      </c>
      <c r="O6" s="2" t="s">
        <v>14</v>
      </c>
    </row>
    <row r="7" spans="1:28" customFormat="1" ht="24.75" customHeight="1">
      <c r="A7" s="16"/>
      <c r="B7" s="17" t="s">
        <v>15</v>
      </c>
      <c r="C7" s="1"/>
      <c r="D7" s="18">
        <v>11</v>
      </c>
      <c r="E7" s="19">
        <v>11</v>
      </c>
      <c r="F7" s="20">
        <f t="shared" ref="F7:F11" si="0">D7-E7</f>
        <v>0</v>
      </c>
      <c r="G7" s="21" t="s">
        <v>16</v>
      </c>
      <c r="H7" s="22"/>
      <c r="I7" s="23"/>
      <c r="J7" s="24"/>
      <c r="K7" s="24"/>
    </row>
    <row r="8" spans="1:28" customFormat="1" ht="24.75" customHeight="1">
      <c r="A8" s="16"/>
      <c r="B8" s="17" t="s">
        <v>15</v>
      </c>
      <c r="C8" s="25"/>
      <c r="D8" s="18">
        <v>4</v>
      </c>
      <c r="E8" s="19">
        <v>4</v>
      </c>
      <c r="F8" s="20">
        <f t="shared" si="0"/>
        <v>0</v>
      </c>
      <c r="G8" s="26" t="s">
        <v>17</v>
      </c>
      <c r="H8" s="22"/>
      <c r="I8" s="23"/>
      <c r="J8" s="24"/>
      <c r="K8" s="24"/>
    </row>
    <row r="9" spans="1:28" customFormat="1" ht="24.75" customHeight="1">
      <c r="A9" s="16"/>
      <c r="B9" s="17" t="s">
        <v>15</v>
      </c>
      <c r="C9" s="25"/>
      <c r="D9" s="18">
        <v>15</v>
      </c>
      <c r="E9" s="19">
        <v>15</v>
      </c>
      <c r="F9" s="20">
        <f t="shared" si="0"/>
        <v>0</v>
      </c>
      <c r="G9" s="26" t="s">
        <v>18</v>
      </c>
      <c r="H9" s="22"/>
      <c r="I9" s="23"/>
      <c r="J9" s="24"/>
      <c r="K9" s="24"/>
    </row>
    <row r="10" spans="1:28" customFormat="1" ht="24.75" customHeight="1">
      <c r="A10" s="16"/>
      <c r="B10" s="27" t="s">
        <v>15</v>
      </c>
      <c r="C10" s="25"/>
      <c r="D10" s="18">
        <v>25</v>
      </c>
      <c r="E10" s="19">
        <v>25</v>
      </c>
      <c r="F10" s="20">
        <f t="shared" si="0"/>
        <v>0</v>
      </c>
      <c r="G10" s="26" t="s">
        <v>19</v>
      </c>
      <c r="H10" s="22"/>
      <c r="I10" s="23"/>
      <c r="J10" s="24"/>
      <c r="K10" s="24"/>
    </row>
    <row r="11" spans="1:28" customFormat="1" ht="24.75" customHeight="1">
      <c r="A11" s="16"/>
      <c r="B11" s="17" t="s">
        <v>15</v>
      </c>
      <c r="C11" s="25"/>
      <c r="D11" s="18">
        <v>10</v>
      </c>
      <c r="E11" s="19">
        <v>10</v>
      </c>
      <c r="F11" s="20">
        <f t="shared" si="0"/>
        <v>0</v>
      </c>
      <c r="G11" s="21" t="s">
        <v>20</v>
      </c>
      <c r="H11" s="22"/>
      <c r="I11" s="23"/>
      <c r="J11" s="24"/>
      <c r="K11" s="24"/>
    </row>
    <row r="12" spans="1:28" customFormat="1" ht="24.75" customHeight="1">
      <c r="A12" s="30"/>
      <c r="B12" s="25"/>
      <c r="C12" s="25"/>
      <c r="D12" s="19"/>
      <c r="E12" s="19"/>
      <c r="F12" s="31">
        <f t="shared" ref="F12:F14" si="1">D12-E12</f>
        <v>0</v>
      </c>
      <c r="G12" s="25"/>
      <c r="H12" s="28"/>
      <c r="I12" s="29"/>
      <c r="J12" s="25"/>
      <c r="K12" s="25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</row>
    <row r="13" spans="1:28" customFormat="1" ht="24.75" customHeight="1">
      <c r="A13" s="30"/>
      <c r="B13" s="25"/>
      <c r="C13" s="25"/>
      <c r="D13" s="19"/>
      <c r="E13" s="19"/>
      <c r="F13" s="31">
        <f t="shared" si="1"/>
        <v>0</v>
      </c>
      <c r="G13" s="25"/>
      <c r="H13" s="28"/>
      <c r="I13" s="29"/>
      <c r="J13" s="25"/>
      <c r="K13" s="2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  <c r="AA13" s="30"/>
      <c r="AB13" s="30"/>
    </row>
    <row r="14" spans="1:28" customFormat="1" ht="24.75" customHeight="1">
      <c r="B14" s="39" t="s">
        <v>21</v>
      </c>
      <c r="C14" s="40"/>
      <c r="D14" s="32">
        <f t="shared" ref="D14:E14" si="2">SUM(D7:D13)</f>
        <v>65</v>
      </c>
      <c r="E14" s="32">
        <f t="shared" si="2"/>
        <v>65</v>
      </c>
      <c r="F14" s="20">
        <f t="shared" si="1"/>
        <v>0</v>
      </c>
      <c r="G14" s="33"/>
      <c r="H14" s="34"/>
      <c r="I14" s="35"/>
      <c r="J14" s="33"/>
      <c r="K14" s="33"/>
      <c r="L14" s="33"/>
      <c r="M14" s="33"/>
      <c r="N14" s="33"/>
      <c r="O14" s="33"/>
      <c r="P14" s="33"/>
      <c r="Q14" s="33"/>
      <c r="R14" s="33"/>
      <c r="S14" s="33"/>
      <c r="T14" s="33"/>
      <c r="U14" s="33"/>
      <c r="V14" s="33"/>
      <c r="W14" s="33"/>
      <c r="X14" s="33"/>
      <c r="Y14" s="33"/>
      <c r="Z14" s="33"/>
      <c r="AA14" s="33"/>
      <c r="AB14" s="33"/>
    </row>
  </sheetData>
  <mergeCells count="3">
    <mergeCell ref="A1:K2"/>
    <mergeCell ref="A4:G4"/>
    <mergeCell ref="B14:C14"/>
  </mergeCells>
  <conditionalFormatting sqref="A1:A11 B1:K14">
    <cfRule type="expression" dxfId="9" priority="1">
      <formula>ROW()=CELL("Row")</formula>
    </cfRule>
  </conditionalFormatting>
  <conditionalFormatting sqref="D4:D14">
    <cfRule type="cellIs" dxfId="8" priority="2" operator="lessThan">
      <formula>100</formula>
    </cfRule>
    <cfRule type="cellIs" dxfId="7" priority="11" operator="between">
      <formula>300</formula>
      <formula>999</formula>
    </cfRule>
    <cfRule type="cellIs" dxfId="6" priority="12" operator="between">
      <formula>200</formula>
      <formula>299</formula>
    </cfRule>
    <cfRule type="cellIs" dxfId="5" priority="13" operator="between">
      <formula>100</formula>
      <formula>200</formula>
    </cfRule>
    <cfRule type="cellIs" dxfId="4" priority="14" operator="between">
      <formula>1</formula>
      <formula>99</formula>
    </cfRule>
    <cfRule type="cellIs" dxfId="3" priority="15" operator="lessThan">
      <formula>100</formula>
    </cfRule>
  </conditionalFormatting>
  <conditionalFormatting sqref="D3:F14">
    <cfRule type="cellIs" dxfId="2" priority="8" operator="greaterThan">
      <formula>500</formula>
    </cfRule>
    <cfRule type="cellIs" dxfId="1" priority="9" operator="greaterThan">
      <formula>200</formula>
    </cfRule>
  </conditionalFormatting>
  <conditionalFormatting sqref="F3:F14">
    <cfRule type="cellIs" dxfId="0" priority="5" operator="equal">
      <formula>0</formula>
    </cfRule>
  </conditionalFormatting>
  <dataValidations count="2">
    <dataValidation type="list" allowBlank="1" showErrorMessage="1" sqref="I6" xr:uid="{00000000-0002-0000-0000-000001000000}">
      <formula1>$O$3:$O$5</formula1>
    </dataValidation>
    <dataValidation type="list" allowBlank="1" showErrorMessage="1" sqref="I7:I14" xr:uid="{00000000-0002-0000-0000-000000000000}">
      <formula1>$O$3:$O$11</formula1>
    </dataValidation>
  </dataValidations>
  <hyperlinks>
    <hyperlink ref="G7" r:id="rId1" xr:uid="{00000000-0004-0000-0000-000000000000}"/>
    <hyperlink ref="G8" r:id="rId2" xr:uid="{00000000-0004-0000-0000-000001000000}"/>
    <hyperlink ref="G9" r:id="rId3" xr:uid="{00000000-0004-0000-0000-000002000000}"/>
    <hyperlink ref="G10" r:id="rId4" xr:uid="{00000000-0004-0000-0000-000003000000}"/>
    <hyperlink ref="G11" r:id="rId5" xr:uid="{00000000-0004-0000-0000-000004000000}"/>
  </hyperlinks>
  <pageMargins left="0.70866141732283461" right="0.70866141732283461" top="0.94488188976377951" bottom="0.94488188976377951" header="0" footer="0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LWL Statement Client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</cp:lastModifiedBy>
  <dcterms:modified xsi:type="dcterms:W3CDTF">2025-12-28T22:13:26Z</dcterms:modified>
</cp:coreProperties>
</file>